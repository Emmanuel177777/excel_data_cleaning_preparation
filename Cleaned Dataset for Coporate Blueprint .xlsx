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0" sheetId="1" r:id="rId5"/>
  </sheets>
  <definedNames/>
  <calcPr/>
</workbook>
</file>

<file path=xl/sharedStrings.xml><?xml version="1.0" encoding="utf-8"?>
<sst xmlns="http://schemas.openxmlformats.org/spreadsheetml/2006/main" count="246" uniqueCount="149">
  <si>
    <t/>
  </si>
  <si>
    <t>The Corporate Blueprint: Essential Skills for the Modern Workplace</t>
  </si>
  <si>
    <t>Cohort 1</t>
  </si>
  <si>
    <t>CAPSTONE ASSESSMENT</t>
  </si>
  <si>
    <t>Group Project Reflection</t>
  </si>
  <si>
    <t>Module 1 Assignment: Anatomy of a Perfect Professional Email</t>
  </si>
  <si>
    <t>Personal Time Management Improvement Plan</t>
  </si>
  <si>
    <t>Question (Classroom Discussion Board)</t>
  </si>
  <si>
    <t>Student ID</t>
  </si>
  <si>
    <t>First Name</t>
  </si>
  <si>
    <t>Last Name</t>
  </si>
  <si>
    <t>Mail Address</t>
  </si>
  <si>
    <t>Total Score</t>
  </si>
  <si>
    <t>Average Score</t>
  </si>
  <si>
    <t>Completion</t>
  </si>
  <si>
    <t xml:space="preserve">Performance </t>
  </si>
  <si>
    <t>CB01</t>
  </si>
  <si>
    <t>Abubakar</t>
  </si>
  <si>
    <t>Aminu</t>
  </si>
  <si>
    <t>aminuabubakar0147@gmail.com</t>
  </si>
  <si>
    <t>Incomplete</t>
  </si>
  <si>
    <t>CB02</t>
  </si>
  <si>
    <t>Oguntade</t>
  </si>
  <si>
    <t>Ayomide Julius</t>
  </si>
  <si>
    <t>juliusay77@gmail.com</t>
  </si>
  <si>
    <t>CB03</t>
  </si>
  <si>
    <t>Ofofon</t>
  </si>
  <si>
    <t>Comfort</t>
  </si>
  <si>
    <t>comfortofofon@gmail.com</t>
  </si>
  <si>
    <t>CB04</t>
  </si>
  <si>
    <t>Joanugwu</t>
  </si>
  <si>
    <t>Chinenye</t>
  </si>
  <si>
    <t>chinenyejoanugwu@gmail.com</t>
  </si>
  <si>
    <t>CB05</t>
  </si>
  <si>
    <t>Kafilat</t>
  </si>
  <si>
    <t>Eniola</t>
  </si>
  <si>
    <t>kafilate5@gmail.com</t>
  </si>
  <si>
    <t>CB06</t>
  </si>
  <si>
    <t>Chukwuneke</t>
  </si>
  <si>
    <t>Favour</t>
  </si>
  <si>
    <t>favournaza100@gmail.com</t>
  </si>
  <si>
    <t>CB07</t>
  </si>
  <si>
    <t>Fide</t>
  </si>
  <si>
    <t>meetagagafidelia.23@gmail.com</t>
  </si>
  <si>
    <t>CB08</t>
  </si>
  <si>
    <t>Ofure</t>
  </si>
  <si>
    <t>Hannela</t>
  </si>
  <si>
    <t>hannela789@gmail.com</t>
  </si>
  <si>
    <t>CB09</t>
  </si>
  <si>
    <t>Maxwell</t>
  </si>
  <si>
    <t>Happiness</t>
  </si>
  <si>
    <t>hapmaxjamb@gmail.com</t>
  </si>
  <si>
    <t>CB10</t>
  </si>
  <si>
    <t>Abhareyi</t>
  </si>
  <si>
    <t>Isaac</t>
  </si>
  <si>
    <t>abhareyii@gmail.com</t>
  </si>
  <si>
    <t>CB11</t>
  </si>
  <si>
    <t>Eugenia</t>
  </si>
  <si>
    <t>Isioma</t>
  </si>
  <si>
    <t>isiomaeugenia@gmail.com</t>
  </si>
  <si>
    <t>CB12</t>
  </si>
  <si>
    <t>Elizabeth</t>
  </si>
  <si>
    <t>John</t>
  </si>
  <si>
    <t>elijohn002@gmail.com</t>
  </si>
  <si>
    <t>CB13</t>
  </si>
  <si>
    <t>Uyanwa</t>
  </si>
  <si>
    <t>Jonathan</t>
  </si>
  <si>
    <t>uyanwajonathan98@gmail.com</t>
  </si>
  <si>
    <t>CB14</t>
  </si>
  <si>
    <t>Odeniyi</t>
  </si>
  <si>
    <t>Kehinde</t>
  </si>
  <si>
    <t>kehindeodeniyi910@gmail.com</t>
  </si>
  <si>
    <t>CB15</t>
  </si>
  <si>
    <t>Udoekong</t>
  </si>
  <si>
    <t>Kingsley</t>
  </si>
  <si>
    <t>udoekongkingsley@gmail.com</t>
  </si>
  <si>
    <t>CB16</t>
  </si>
  <si>
    <t>Garuba</t>
  </si>
  <si>
    <t>Lolade</t>
  </si>
  <si>
    <t>loladegaruba29@gmail.com</t>
  </si>
  <si>
    <t>CB17</t>
  </si>
  <si>
    <t>Essien</t>
  </si>
  <si>
    <t>Love</t>
  </si>
  <si>
    <t>essienl478@gmail.com</t>
  </si>
  <si>
    <t>CB18</t>
  </si>
  <si>
    <t>Ojo</t>
  </si>
  <si>
    <t>Mayomikun</t>
  </si>
  <si>
    <t>ojomayomikun6@gmail.com</t>
  </si>
  <si>
    <t>CB19</t>
  </si>
  <si>
    <t>Olotu</t>
  </si>
  <si>
    <t>Micheal</t>
  </si>
  <si>
    <t>michealolotu2004@gmail.com</t>
  </si>
  <si>
    <t>CB20</t>
  </si>
  <si>
    <t>Samuel Odunayo</t>
  </si>
  <si>
    <t>Michealsam14407@gmail.com</t>
  </si>
  <si>
    <t>CB21</t>
  </si>
  <si>
    <t>Bimpe</t>
  </si>
  <si>
    <t>Miracle</t>
  </si>
  <si>
    <t>miraclebimpe29901@gmail.com</t>
  </si>
  <si>
    <t>CB22</t>
  </si>
  <si>
    <t>Okeke</t>
  </si>
  <si>
    <t>Nkemjika</t>
  </si>
  <si>
    <t>okekenkemjika2019@gmail.com</t>
  </si>
  <si>
    <t>CB23</t>
  </si>
  <si>
    <t>Chidera</t>
  </si>
  <si>
    <t>Obodoekwe</t>
  </si>
  <si>
    <t>Christopherchiderapotential@gmail.com</t>
  </si>
  <si>
    <t>CB24</t>
  </si>
  <si>
    <t>Veronica</t>
  </si>
  <si>
    <t>Okoro</t>
  </si>
  <si>
    <t>okoroveronica1@gmail.com</t>
  </si>
  <si>
    <t>CB25</t>
  </si>
  <si>
    <t>Olakoya</t>
  </si>
  <si>
    <t>olakoyaisaac@gmail.com</t>
  </si>
  <si>
    <t>CB26</t>
  </si>
  <si>
    <t>Okwu</t>
  </si>
  <si>
    <t>Sharon</t>
  </si>
  <si>
    <t>okwusharon160@gmail.com</t>
  </si>
  <si>
    <t>CB27</t>
  </si>
  <si>
    <t>Temilade</t>
  </si>
  <si>
    <t>temilade193@gmail.com</t>
  </si>
  <si>
    <t>CB28</t>
  </si>
  <si>
    <t>Kings</t>
  </si>
  <si>
    <t>Tiana</t>
  </si>
  <si>
    <t>tianakngs@gmail.com</t>
  </si>
  <si>
    <t>CB29</t>
  </si>
  <si>
    <t>Tade</t>
  </si>
  <si>
    <t>Tolu</t>
  </si>
  <si>
    <t>trentmcbent9@gmail.com</t>
  </si>
  <si>
    <t>CB30</t>
  </si>
  <si>
    <t>Salisu Sabo</t>
  </si>
  <si>
    <t>Umar</t>
  </si>
  <si>
    <t>umarsalisusabo@gmail.com</t>
  </si>
  <si>
    <t>CB31</t>
  </si>
  <si>
    <t>Mokwenye</t>
  </si>
  <si>
    <t>Victoria</t>
  </si>
  <si>
    <t>victoriamokwenye2@gmail.com</t>
  </si>
  <si>
    <t>CB32</t>
  </si>
  <si>
    <t>Tosin</t>
  </si>
  <si>
    <t>Opeolu</t>
  </si>
  <si>
    <t>opeolutosin@gmail.com</t>
  </si>
  <si>
    <t>CB33</t>
  </si>
  <si>
    <t>Isumekhai</t>
  </si>
  <si>
    <t>Paul</t>
  </si>
  <si>
    <t>pisumekhai@gmail.com</t>
  </si>
  <si>
    <t>CB34</t>
  </si>
  <si>
    <t>Flare</t>
  </si>
  <si>
    <t>Rita</t>
  </si>
  <si>
    <t>ritaflare1@gmail.com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</si>
</sst>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1.0"/>
      <color rgb="FF000000"/>
      <name val="Calibri"/>
      <scheme val="minor"/>
    </font>
    <font>
      <sz val="14.0"/>
      <color rgb="FFFFFFFF"/>
      <name val="Roboto"/>
    </font>
    <font>
      <b/>
      <sz val="14.0"/>
      <color rgb="FFFFFFFF"/>
      <name val="Roboto"/>
    </font>
    <font>
      <sz val="10.0"/>
      <color rgb="FFFFFFFF"/>
      <name val="Roboto"/>
    </font>
    <font>
      <b/>
      <sz val="10.0"/>
      <color rgb="FFFFFFFF"/>
      <name val="Roboto"/>
    </font>
    <font>
      <u/>
      <sz val="10.0"/>
      <color rgb="FFFFFFFF"/>
      <name val="Arial"/>
    </font>
    <font>
      <sz val="10.0"/>
      <color rgb="FFFFFFFF"/>
      <name val="Arial"/>
    </font>
    <font>
      <b/>
      <sz val="11.0"/>
      <color rgb="FFFFFFFF"/>
      <name val="Roboto"/>
    </font>
    <font>
      <sz val="10.0"/>
      <color theme="1"/>
      <name val="Roboto"/>
    </font>
    <font>
      <color theme="1"/>
      <name val="Calibri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E8710A"/>
        <bgColor rgb="FFE8710A"/>
      </patternFill>
    </fill>
    <fill>
      <patternFill patternType="solid">
        <fgColor rgb="FF434343"/>
        <bgColor rgb="FF434343"/>
      </patternFill>
    </fill>
  </fills>
  <borders count="3">
    <border/>
    <border>
      <left style="thin">
        <color rgb="FFE8710A"/>
      </left>
      <right style="thin">
        <color rgb="FFE8710A"/>
      </right>
      <top style="thin">
        <color rgb="FFE8710A"/>
      </top>
      <bottom style="thin">
        <color rgb="FFE8710A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vertical="center"/>
    </xf>
    <xf borderId="1" fillId="2" fontId="2" numFmtId="0" xfId="0" applyAlignment="1" applyBorder="1" applyFont="1">
      <alignment horizontal="left" vertical="center"/>
    </xf>
    <xf borderId="1" fillId="2" fontId="3" numFmtId="0" xfId="0" applyAlignment="1" applyBorder="1" applyFont="1">
      <alignment horizontal="left" vertical="center"/>
    </xf>
    <xf borderId="1" fillId="2" fontId="4" numFmtId="0" xfId="0" applyAlignment="1" applyBorder="1" applyFont="1">
      <alignment horizontal="left" shrinkToFit="0" vertical="center" wrapText="1"/>
    </xf>
    <xf borderId="1" fillId="2" fontId="4" numFmtId="0" xfId="0" applyAlignment="1" applyBorder="1" applyFont="1">
      <alignment horizontal="left" readingOrder="0" vertical="center"/>
    </xf>
    <xf borderId="1" fillId="2" fontId="4" numFmtId="0" xfId="0" applyAlignment="1" applyBorder="1" applyFont="1">
      <alignment horizontal="left" readingOrder="0" shrinkToFit="0" vertical="center" wrapText="1"/>
    </xf>
    <xf borderId="1" fillId="2" fontId="5" numFmtId="0" xfId="0" applyAlignment="1" applyBorder="1" applyFont="1">
      <alignment horizontal="left" vertical="center"/>
    </xf>
    <xf borderId="1" fillId="2" fontId="6" numFmtId="0" xfId="0" applyAlignment="1" applyBorder="1" applyFont="1">
      <alignment horizontal="left" vertical="center"/>
    </xf>
    <xf borderId="0" fillId="3" fontId="7" numFmtId="0" xfId="0" applyAlignment="1" applyFill="1" applyFont="1">
      <alignment horizontal="left" readingOrder="0" vertical="center"/>
    </xf>
    <xf borderId="2" fillId="3" fontId="3" numFmtId="0" xfId="0" applyAlignment="1" applyBorder="1" applyFont="1">
      <alignment horizontal="left" shrinkToFit="0" vertical="center" wrapText="1"/>
    </xf>
    <xf borderId="0" fillId="0" fontId="8" numFmtId="0" xfId="0" applyAlignment="1" applyFont="1">
      <alignment horizontal="left" readingOrder="0" vertical="center"/>
    </xf>
    <xf borderId="0" fillId="0" fontId="8" numFmtId="0" xfId="0" applyAlignment="1" applyFont="1">
      <alignment horizontal="left" vertical="center"/>
    </xf>
    <xf borderId="0" fillId="0" fontId="9" numFmtId="0" xfId="0" applyFont="1"/>
    <xf borderId="0" fillId="0" fontId="9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5.0" ySplit="4.0" topLeftCell="F5" activePane="bottomRight" state="frozen"/>
      <selection activeCell="F1" sqref="F1" pane="topRight"/>
      <selection activeCell="A5" sqref="A5" pane="bottomLeft"/>
      <selection activeCell="F5" sqref="F5" pane="bottomRight"/>
    </sheetView>
  </sheetViews>
  <sheetFormatPr customHeight="1" defaultColWidth="14.43" defaultRowHeight="15.0"/>
  <cols>
    <col customWidth="1" min="1" max="10" width="16.0"/>
  </cols>
  <sheetData>
    <row r="1" ht="24.0" customHeight="1">
      <c r="A1" s="1" t="s">
        <v>0</v>
      </c>
      <c r="B1" s="2"/>
      <c r="C1" s="2" t="s">
        <v>1</v>
      </c>
      <c r="D1" s="2" t="s">
        <v>0</v>
      </c>
      <c r="E1" s="2" t="s">
        <v>0</v>
      </c>
      <c r="F1" s="3" t="s">
        <v>0</v>
      </c>
      <c r="G1" s="3" t="s">
        <v>0</v>
      </c>
      <c r="H1" s="3" t="s">
        <v>0</v>
      </c>
      <c r="I1" s="3" t="s">
        <v>0</v>
      </c>
      <c r="J1" s="3" t="s">
        <v>0</v>
      </c>
      <c r="K1" s="3" t="s">
        <v>0</v>
      </c>
      <c r="L1" s="3"/>
      <c r="M1" s="3" t="s">
        <v>0</v>
      </c>
      <c r="N1" s="3" t="s">
        <v>0</v>
      </c>
    </row>
    <row r="2" ht="24.0" customHeight="1">
      <c r="A2" s="1" t="s">
        <v>0</v>
      </c>
      <c r="B2" s="1"/>
      <c r="C2" s="1" t="s">
        <v>2</v>
      </c>
      <c r="D2" s="1" t="s">
        <v>0</v>
      </c>
      <c r="E2" s="1" t="s">
        <v>0</v>
      </c>
      <c r="F2" s="4" t="s">
        <v>3</v>
      </c>
      <c r="G2" s="4" t="s">
        <v>4</v>
      </c>
      <c r="H2" s="4" t="s">
        <v>5</v>
      </c>
      <c r="I2" s="4" t="s">
        <v>6</v>
      </c>
      <c r="J2" s="4" t="s">
        <v>7</v>
      </c>
      <c r="K2" s="5"/>
      <c r="L2" s="5"/>
      <c r="M2" s="6"/>
      <c r="N2" s="3" t="s">
        <v>0</v>
      </c>
    </row>
    <row r="3" ht="24.0" customHeight="1">
      <c r="A3" s="1" t="s">
        <v>0</v>
      </c>
      <c r="B3" s="7"/>
      <c r="C3" s="7" t="str">
        <f>hyperlink("https://classroom.google.com/c/ODY3MTMyNzU1MDkz", upper("Open Classroom"))</f>
        <v>OPEN CLASSROOM</v>
      </c>
      <c r="D3" s="8" t="s">
        <v>0</v>
      </c>
      <c r="E3" s="8" t="s">
        <v>0</v>
      </c>
      <c r="F3" s="3">
        <v>100.0</v>
      </c>
      <c r="G3" s="3">
        <v>100.0</v>
      </c>
      <c r="H3" s="3">
        <v>100.0</v>
      </c>
      <c r="I3" s="3">
        <v>100.0</v>
      </c>
      <c r="J3" s="3">
        <v>100.0</v>
      </c>
      <c r="K3" s="3" t="s">
        <v>0</v>
      </c>
      <c r="L3" s="3"/>
      <c r="M3" s="3" t="s">
        <v>0</v>
      </c>
      <c r="N3" s="3" t="s">
        <v>0</v>
      </c>
    </row>
    <row r="4" ht="24.0" customHeight="1">
      <c r="A4" s="9" t="s">
        <v>8</v>
      </c>
      <c r="B4" s="9" t="s">
        <v>2</v>
      </c>
      <c r="C4" s="9" t="s">
        <v>9</v>
      </c>
      <c r="D4" s="9" t="s">
        <v>10</v>
      </c>
      <c r="E4" s="9" t="s">
        <v>11</v>
      </c>
      <c r="F4" s="10" t="s">
        <v>0</v>
      </c>
      <c r="G4" s="10" t="s">
        <v>0</v>
      </c>
      <c r="H4" s="10" t="s">
        <v>0</v>
      </c>
      <c r="I4" s="10" t="s">
        <v>0</v>
      </c>
      <c r="J4" s="10" t="s">
        <v>0</v>
      </c>
      <c r="K4" s="9" t="s">
        <v>12</v>
      </c>
      <c r="L4" s="9" t="s">
        <v>13</v>
      </c>
      <c r="M4" s="9" t="s">
        <v>14</v>
      </c>
      <c r="N4" s="9" t="s">
        <v>15</v>
      </c>
    </row>
    <row r="5" ht="24.0" customHeight="1">
      <c r="A5" s="11" t="s">
        <v>16</v>
      </c>
      <c r="B5" s="11" t="s">
        <v>2</v>
      </c>
      <c r="C5" s="12" t="s">
        <v>17</v>
      </c>
      <c r="D5" s="12" t="s">
        <v>18</v>
      </c>
      <c r="E5" s="12" t="s">
        <v>19</v>
      </c>
      <c r="F5" s="11">
        <v>0.0</v>
      </c>
      <c r="G5" s="12">
        <v>100.0</v>
      </c>
      <c r="H5" s="12">
        <v>100.0</v>
      </c>
      <c r="I5" s="11">
        <v>0.0</v>
      </c>
      <c r="J5" s="12">
        <v>100.0</v>
      </c>
      <c r="K5" s="13">
        <f t="shared" ref="K5:K38" si="1">SUM(F5:J5)</f>
        <v>300</v>
      </c>
      <c r="L5" s="13">
        <f t="shared" ref="L5:L38" si="2">K5/5</f>
        <v>60</v>
      </c>
      <c r="M5" s="14" t="s">
        <v>20</v>
      </c>
      <c r="N5" s="13" t="str">
        <f t="shared" ref="N5:N38" si="3">IF(L5&gt;=70,"Excellent",IF(L5&gt;=60,"Good",IF(L5&gt;=50,"Fair","Needs Improvement")))</f>
        <v>Good</v>
      </c>
    </row>
    <row r="6" ht="24.0" customHeight="1">
      <c r="A6" s="11" t="s">
        <v>21</v>
      </c>
      <c r="B6" s="11" t="s">
        <v>2</v>
      </c>
      <c r="C6" s="12" t="s">
        <v>22</v>
      </c>
      <c r="D6" s="12" t="s">
        <v>23</v>
      </c>
      <c r="E6" s="12" t="s">
        <v>24</v>
      </c>
      <c r="F6" s="11">
        <v>0.0</v>
      </c>
      <c r="G6" s="11">
        <v>0.0</v>
      </c>
      <c r="H6" s="11">
        <v>0.0</v>
      </c>
      <c r="I6" s="11">
        <v>0.0</v>
      </c>
      <c r="J6" s="11">
        <v>0.0</v>
      </c>
      <c r="K6" s="13">
        <f t="shared" si="1"/>
        <v>0</v>
      </c>
      <c r="L6" s="13">
        <f t="shared" si="2"/>
        <v>0</v>
      </c>
      <c r="M6" s="14" t="s">
        <v>20</v>
      </c>
      <c r="N6" s="13" t="str">
        <f t="shared" si="3"/>
        <v>Needs Improvement</v>
      </c>
    </row>
    <row r="7" ht="24.0" customHeight="1">
      <c r="A7" s="11" t="s">
        <v>25</v>
      </c>
      <c r="B7" s="11" t="s">
        <v>2</v>
      </c>
      <c r="C7" s="12" t="s">
        <v>26</v>
      </c>
      <c r="D7" s="12" t="s">
        <v>27</v>
      </c>
      <c r="E7" s="12" t="s">
        <v>28</v>
      </c>
      <c r="F7" s="11">
        <v>0.0</v>
      </c>
      <c r="G7" s="11">
        <v>0.0</v>
      </c>
      <c r="H7" s="11">
        <v>0.0</v>
      </c>
      <c r="I7" s="11">
        <v>0.0</v>
      </c>
      <c r="J7" s="11">
        <v>0.0</v>
      </c>
      <c r="K7" s="13">
        <f t="shared" si="1"/>
        <v>0</v>
      </c>
      <c r="L7" s="13">
        <f t="shared" si="2"/>
        <v>0</v>
      </c>
      <c r="M7" s="14" t="s">
        <v>20</v>
      </c>
      <c r="N7" s="13" t="str">
        <f t="shared" si="3"/>
        <v>Needs Improvement</v>
      </c>
    </row>
    <row r="8" ht="24.0" customHeight="1">
      <c r="A8" s="11" t="s">
        <v>29</v>
      </c>
      <c r="B8" s="11" t="s">
        <v>2</v>
      </c>
      <c r="C8" s="12" t="s">
        <v>30</v>
      </c>
      <c r="D8" s="12" t="s">
        <v>31</v>
      </c>
      <c r="E8" s="12" t="s">
        <v>32</v>
      </c>
      <c r="F8" s="11">
        <v>0.0</v>
      </c>
      <c r="G8" s="12">
        <v>100.0</v>
      </c>
      <c r="H8" s="12">
        <v>100.0</v>
      </c>
      <c r="I8" s="11">
        <v>0.0</v>
      </c>
      <c r="J8" s="12">
        <v>100.0</v>
      </c>
      <c r="K8" s="13">
        <f t="shared" si="1"/>
        <v>300</v>
      </c>
      <c r="L8" s="13">
        <f t="shared" si="2"/>
        <v>60</v>
      </c>
      <c r="M8" s="14" t="s">
        <v>20</v>
      </c>
      <c r="N8" s="13" t="str">
        <f t="shared" si="3"/>
        <v>Good</v>
      </c>
    </row>
    <row r="9" ht="24.0" customHeight="1">
      <c r="A9" s="11" t="s">
        <v>33</v>
      </c>
      <c r="B9" s="11" t="s">
        <v>2</v>
      </c>
      <c r="C9" s="12" t="s">
        <v>34</v>
      </c>
      <c r="D9" s="12" t="s">
        <v>35</v>
      </c>
      <c r="E9" s="12" t="s">
        <v>36</v>
      </c>
      <c r="F9" s="11">
        <v>0.0</v>
      </c>
      <c r="G9" s="12">
        <v>100.0</v>
      </c>
      <c r="H9" s="12">
        <v>100.0</v>
      </c>
      <c r="I9" s="11">
        <v>0.0</v>
      </c>
      <c r="J9" s="12">
        <v>100.0</v>
      </c>
      <c r="K9" s="13">
        <f t="shared" si="1"/>
        <v>300</v>
      </c>
      <c r="L9" s="13">
        <f t="shared" si="2"/>
        <v>60</v>
      </c>
      <c r="M9" s="14" t="s">
        <v>20</v>
      </c>
      <c r="N9" s="13" t="str">
        <f t="shared" si="3"/>
        <v>Good</v>
      </c>
    </row>
    <row r="10" ht="24.0" customHeight="1">
      <c r="A10" s="11" t="s">
        <v>37</v>
      </c>
      <c r="B10" s="11" t="s">
        <v>2</v>
      </c>
      <c r="C10" s="12" t="s">
        <v>38</v>
      </c>
      <c r="D10" s="12" t="s">
        <v>39</v>
      </c>
      <c r="E10" s="12" t="s">
        <v>40</v>
      </c>
      <c r="F10" s="11">
        <v>0.0</v>
      </c>
      <c r="G10" s="11">
        <v>0.0</v>
      </c>
      <c r="H10" s="11">
        <v>0.0</v>
      </c>
      <c r="I10" s="11">
        <v>0.0</v>
      </c>
      <c r="J10" s="11">
        <v>0.0</v>
      </c>
      <c r="K10" s="13">
        <f t="shared" si="1"/>
        <v>0</v>
      </c>
      <c r="L10" s="13">
        <f t="shared" si="2"/>
        <v>0</v>
      </c>
      <c r="M10" s="14" t="s">
        <v>20</v>
      </c>
      <c r="N10" s="13" t="str">
        <f t="shared" si="3"/>
        <v>Needs Improvement</v>
      </c>
    </row>
    <row r="11" ht="24.0" customHeight="1">
      <c r="A11" s="11" t="s">
        <v>41</v>
      </c>
      <c r="B11" s="11" t="s">
        <v>2</v>
      </c>
      <c r="C11" s="12" t="s">
        <v>0</v>
      </c>
      <c r="D11" s="12" t="s">
        <v>42</v>
      </c>
      <c r="E11" s="12" t="s">
        <v>43</v>
      </c>
      <c r="F11" s="11">
        <v>0.0</v>
      </c>
      <c r="G11" s="11">
        <v>0.0</v>
      </c>
      <c r="H11" s="12">
        <v>100.0</v>
      </c>
      <c r="I11" s="11">
        <v>0.0</v>
      </c>
      <c r="J11" s="11">
        <v>0.0</v>
      </c>
      <c r="K11" s="13">
        <f t="shared" si="1"/>
        <v>100</v>
      </c>
      <c r="L11" s="13">
        <f t="shared" si="2"/>
        <v>20</v>
      </c>
      <c r="M11" s="14" t="s">
        <v>20</v>
      </c>
      <c r="N11" s="13" t="str">
        <f t="shared" si="3"/>
        <v>Needs Improvement</v>
      </c>
    </row>
    <row r="12" ht="24.0" customHeight="1">
      <c r="A12" s="11" t="s">
        <v>44</v>
      </c>
      <c r="B12" s="11" t="s">
        <v>2</v>
      </c>
      <c r="C12" s="12" t="s">
        <v>45</v>
      </c>
      <c r="D12" s="12" t="s">
        <v>46</v>
      </c>
      <c r="E12" s="12" t="s">
        <v>47</v>
      </c>
      <c r="F12" s="11">
        <v>0.0</v>
      </c>
      <c r="G12" s="11">
        <v>0.0</v>
      </c>
      <c r="H12" s="12">
        <v>90.0</v>
      </c>
      <c r="I12" s="11">
        <v>0.0</v>
      </c>
      <c r="J12" s="11">
        <v>0.0</v>
      </c>
      <c r="K12" s="13">
        <f t="shared" si="1"/>
        <v>90</v>
      </c>
      <c r="L12" s="13">
        <f t="shared" si="2"/>
        <v>18</v>
      </c>
      <c r="M12" s="14" t="s">
        <v>20</v>
      </c>
      <c r="N12" s="13" t="str">
        <f t="shared" si="3"/>
        <v>Needs Improvement</v>
      </c>
    </row>
    <row r="13" ht="24.0" customHeight="1">
      <c r="A13" s="11" t="s">
        <v>48</v>
      </c>
      <c r="B13" s="11" t="s">
        <v>2</v>
      </c>
      <c r="C13" s="12" t="s">
        <v>49</v>
      </c>
      <c r="D13" s="12" t="s">
        <v>50</v>
      </c>
      <c r="E13" s="12" t="s">
        <v>51</v>
      </c>
      <c r="F13" s="11">
        <v>0.0</v>
      </c>
      <c r="G13" s="11">
        <v>0.0</v>
      </c>
      <c r="H13" s="11">
        <v>0.0</v>
      </c>
      <c r="I13" s="11">
        <v>0.0</v>
      </c>
      <c r="J13" s="12">
        <v>90.0</v>
      </c>
      <c r="K13" s="13">
        <f t="shared" si="1"/>
        <v>90</v>
      </c>
      <c r="L13" s="13">
        <f t="shared" si="2"/>
        <v>18</v>
      </c>
      <c r="M13" s="14" t="s">
        <v>20</v>
      </c>
      <c r="N13" s="13" t="str">
        <f t="shared" si="3"/>
        <v>Needs Improvement</v>
      </c>
    </row>
    <row r="14" ht="24.0" customHeight="1">
      <c r="A14" s="11" t="s">
        <v>52</v>
      </c>
      <c r="B14" s="11" t="s">
        <v>2</v>
      </c>
      <c r="C14" s="12" t="s">
        <v>53</v>
      </c>
      <c r="D14" s="12" t="s">
        <v>54</v>
      </c>
      <c r="E14" s="12" t="s">
        <v>55</v>
      </c>
      <c r="F14" s="11">
        <v>0.0</v>
      </c>
      <c r="G14" s="11">
        <v>0.0</v>
      </c>
      <c r="H14" s="11">
        <v>0.0</v>
      </c>
      <c r="I14" s="11">
        <v>0.0</v>
      </c>
      <c r="J14" s="11">
        <v>0.0</v>
      </c>
      <c r="K14" s="13">
        <f t="shared" si="1"/>
        <v>0</v>
      </c>
      <c r="L14" s="13">
        <f t="shared" si="2"/>
        <v>0</v>
      </c>
      <c r="M14" s="14" t="s">
        <v>20</v>
      </c>
      <c r="N14" s="13" t="str">
        <f t="shared" si="3"/>
        <v>Needs Improvement</v>
      </c>
    </row>
    <row r="15" ht="24.0" customHeight="1">
      <c r="A15" s="11" t="s">
        <v>56</v>
      </c>
      <c r="B15" s="11" t="s">
        <v>2</v>
      </c>
      <c r="C15" s="12" t="s">
        <v>57</v>
      </c>
      <c r="D15" s="12" t="s">
        <v>58</v>
      </c>
      <c r="E15" s="12" t="s">
        <v>59</v>
      </c>
      <c r="F15" s="11">
        <v>0.0</v>
      </c>
      <c r="G15" s="11">
        <v>0.0</v>
      </c>
      <c r="H15" s="11">
        <v>0.0</v>
      </c>
      <c r="I15" s="11">
        <v>0.0</v>
      </c>
      <c r="J15" s="12">
        <v>100.0</v>
      </c>
      <c r="K15" s="13">
        <f t="shared" si="1"/>
        <v>100</v>
      </c>
      <c r="L15" s="13">
        <f t="shared" si="2"/>
        <v>20</v>
      </c>
      <c r="M15" s="14" t="s">
        <v>20</v>
      </c>
      <c r="N15" s="13" t="str">
        <f t="shared" si="3"/>
        <v>Needs Improvement</v>
      </c>
    </row>
    <row r="16" ht="24.0" customHeight="1">
      <c r="A16" s="11" t="s">
        <v>60</v>
      </c>
      <c r="B16" s="11" t="s">
        <v>2</v>
      </c>
      <c r="C16" s="12" t="s">
        <v>61</v>
      </c>
      <c r="D16" s="12" t="s">
        <v>62</v>
      </c>
      <c r="E16" s="12" t="s">
        <v>63</v>
      </c>
      <c r="F16" s="11">
        <v>0.0</v>
      </c>
      <c r="G16" s="11">
        <v>0.0</v>
      </c>
      <c r="H16" s="11">
        <v>0.0</v>
      </c>
      <c r="I16" s="11">
        <v>0.0</v>
      </c>
      <c r="J16" s="12">
        <v>100.0</v>
      </c>
      <c r="K16" s="13">
        <f t="shared" si="1"/>
        <v>100</v>
      </c>
      <c r="L16" s="13">
        <f t="shared" si="2"/>
        <v>20</v>
      </c>
      <c r="M16" s="14" t="s">
        <v>20</v>
      </c>
      <c r="N16" s="13" t="str">
        <f t="shared" si="3"/>
        <v>Needs Improvement</v>
      </c>
    </row>
    <row r="17" ht="24.0" customHeight="1">
      <c r="A17" s="11" t="s">
        <v>64</v>
      </c>
      <c r="B17" s="11" t="s">
        <v>2</v>
      </c>
      <c r="C17" s="12" t="s">
        <v>65</v>
      </c>
      <c r="D17" s="12" t="s">
        <v>66</v>
      </c>
      <c r="E17" s="12" t="s">
        <v>67</v>
      </c>
      <c r="F17" s="11">
        <v>0.0</v>
      </c>
      <c r="G17" s="11">
        <v>0.0</v>
      </c>
      <c r="H17" s="11">
        <v>0.0</v>
      </c>
      <c r="I17" s="11">
        <v>0.0</v>
      </c>
      <c r="J17" s="11">
        <v>0.0</v>
      </c>
      <c r="K17" s="13">
        <f t="shared" si="1"/>
        <v>0</v>
      </c>
      <c r="L17" s="13">
        <f t="shared" si="2"/>
        <v>0</v>
      </c>
      <c r="M17" s="14" t="s">
        <v>20</v>
      </c>
      <c r="N17" s="13" t="str">
        <f t="shared" si="3"/>
        <v>Needs Improvement</v>
      </c>
    </row>
    <row r="18" ht="24.0" customHeight="1">
      <c r="A18" s="11" t="s">
        <v>68</v>
      </c>
      <c r="B18" s="11" t="s">
        <v>2</v>
      </c>
      <c r="C18" s="12" t="s">
        <v>69</v>
      </c>
      <c r="D18" s="12" t="s">
        <v>70</v>
      </c>
      <c r="E18" s="12" t="s">
        <v>71</v>
      </c>
      <c r="F18" s="11">
        <v>0.0</v>
      </c>
      <c r="G18" s="11">
        <v>0.0</v>
      </c>
      <c r="H18" s="11">
        <v>0.0</v>
      </c>
      <c r="I18" s="11">
        <v>0.0</v>
      </c>
      <c r="J18" s="11">
        <v>0.0</v>
      </c>
      <c r="K18" s="13">
        <f t="shared" si="1"/>
        <v>0</v>
      </c>
      <c r="L18" s="13">
        <f t="shared" si="2"/>
        <v>0</v>
      </c>
      <c r="M18" s="14" t="s">
        <v>20</v>
      </c>
      <c r="N18" s="13" t="str">
        <f t="shared" si="3"/>
        <v>Needs Improvement</v>
      </c>
    </row>
    <row r="19" ht="24.0" customHeight="1">
      <c r="A19" s="11" t="s">
        <v>72</v>
      </c>
      <c r="B19" s="11" t="s">
        <v>2</v>
      </c>
      <c r="C19" s="12" t="s">
        <v>73</v>
      </c>
      <c r="D19" s="12" t="s">
        <v>74</v>
      </c>
      <c r="E19" s="12" t="s">
        <v>75</v>
      </c>
      <c r="F19" s="11">
        <v>0.0</v>
      </c>
      <c r="G19" s="11">
        <v>0.0</v>
      </c>
      <c r="H19" s="11">
        <v>0.0</v>
      </c>
      <c r="I19" s="11">
        <v>0.0</v>
      </c>
      <c r="J19" s="11">
        <v>0.0</v>
      </c>
      <c r="K19" s="13">
        <f t="shared" si="1"/>
        <v>0</v>
      </c>
      <c r="L19" s="13">
        <f t="shared" si="2"/>
        <v>0</v>
      </c>
      <c r="M19" s="14" t="s">
        <v>20</v>
      </c>
      <c r="N19" s="13" t="str">
        <f t="shared" si="3"/>
        <v>Needs Improvement</v>
      </c>
    </row>
    <row r="20" ht="24.0" customHeight="1">
      <c r="A20" s="11" t="s">
        <v>76</v>
      </c>
      <c r="B20" s="11" t="s">
        <v>2</v>
      </c>
      <c r="C20" s="12" t="s">
        <v>77</v>
      </c>
      <c r="D20" s="12" t="s">
        <v>78</v>
      </c>
      <c r="E20" s="12" t="s">
        <v>79</v>
      </c>
      <c r="F20" s="11">
        <v>0.0</v>
      </c>
      <c r="G20" s="11">
        <v>0.0</v>
      </c>
      <c r="H20" s="11">
        <v>0.0</v>
      </c>
      <c r="I20" s="11">
        <v>0.0</v>
      </c>
      <c r="J20" s="11">
        <v>0.0</v>
      </c>
      <c r="K20" s="13">
        <f t="shared" si="1"/>
        <v>0</v>
      </c>
      <c r="L20" s="13">
        <f t="shared" si="2"/>
        <v>0</v>
      </c>
      <c r="M20" s="14" t="s">
        <v>20</v>
      </c>
      <c r="N20" s="13" t="str">
        <f t="shared" si="3"/>
        <v>Needs Improvement</v>
      </c>
    </row>
    <row r="21" ht="24.0" customHeight="1">
      <c r="A21" s="11" t="s">
        <v>80</v>
      </c>
      <c r="B21" s="11" t="s">
        <v>2</v>
      </c>
      <c r="C21" s="12" t="s">
        <v>81</v>
      </c>
      <c r="D21" s="12" t="s">
        <v>82</v>
      </c>
      <c r="E21" s="12" t="s">
        <v>83</v>
      </c>
      <c r="F21" s="11">
        <v>0.0</v>
      </c>
      <c r="G21" s="11">
        <v>0.0</v>
      </c>
      <c r="H21" s="11">
        <v>0.0</v>
      </c>
      <c r="I21" s="11">
        <v>0.0</v>
      </c>
      <c r="J21" s="12">
        <v>90.0</v>
      </c>
      <c r="K21" s="13">
        <f t="shared" si="1"/>
        <v>90</v>
      </c>
      <c r="L21" s="13">
        <f t="shared" si="2"/>
        <v>18</v>
      </c>
      <c r="M21" s="14" t="s">
        <v>20</v>
      </c>
      <c r="N21" s="13" t="str">
        <f t="shared" si="3"/>
        <v>Needs Improvement</v>
      </c>
    </row>
    <row r="22" ht="24.0" customHeight="1">
      <c r="A22" s="11" t="s">
        <v>84</v>
      </c>
      <c r="B22" s="11" t="s">
        <v>2</v>
      </c>
      <c r="C22" s="12" t="s">
        <v>85</v>
      </c>
      <c r="D22" s="12" t="s">
        <v>86</v>
      </c>
      <c r="E22" s="12" t="s">
        <v>87</v>
      </c>
      <c r="F22" s="11">
        <v>0.0</v>
      </c>
      <c r="G22" s="11">
        <v>0.0</v>
      </c>
      <c r="H22" s="11">
        <v>0.0</v>
      </c>
      <c r="I22" s="11">
        <v>0.0</v>
      </c>
      <c r="J22" s="12">
        <v>90.0</v>
      </c>
      <c r="K22" s="13">
        <f t="shared" si="1"/>
        <v>90</v>
      </c>
      <c r="L22" s="13">
        <f t="shared" si="2"/>
        <v>18</v>
      </c>
      <c r="M22" s="14" t="s">
        <v>20</v>
      </c>
      <c r="N22" s="13" t="str">
        <f t="shared" si="3"/>
        <v>Needs Improvement</v>
      </c>
    </row>
    <row r="23" ht="24.0" customHeight="1">
      <c r="A23" s="11" t="s">
        <v>88</v>
      </c>
      <c r="B23" s="11" t="s">
        <v>2</v>
      </c>
      <c r="C23" s="12" t="s">
        <v>89</v>
      </c>
      <c r="D23" s="12" t="s">
        <v>90</v>
      </c>
      <c r="E23" s="12" t="s">
        <v>91</v>
      </c>
      <c r="F23" s="11">
        <v>0.0</v>
      </c>
      <c r="G23" s="12">
        <v>100.0</v>
      </c>
      <c r="H23" s="12">
        <v>100.0</v>
      </c>
      <c r="I23" s="11">
        <v>0.0</v>
      </c>
      <c r="J23" s="12">
        <v>90.0</v>
      </c>
      <c r="K23" s="13">
        <f t="shared" si="1"/>
        <v>290</v>
      </c>
      <c r="L23" s="13">
        <f t="shared" si="2"/>
        <v>58</v>
      </c>
      <c r="M23" s="14" t="s">
        <v>20</v>
      </c>
      <c r="N23" s="13" t="str">
        <f t="shared" si="3"/>
        <v>Fair</v>
      </c>
    </row>
    <row r="24" ht="24.0" customHeight="1">
      <c r="A24" s="11" t="s">
        <v>92</v>
      </c>
      <c r="B24" s="11" t="s">
        <v>2</v>
      </c>
      <c r="C24" s="12" t="s">
        <v>93</v>
      </c>
      <c r="D24" s="12" t="s">
        <v>90</v>
      </c>
      <c r="E24" s="12" t="s">
        <v>94</v>
      </c>
      <c r="F24" s="11">
        <v>0.0</v>
      </c>
      <c r="G24" s="12">
        <v>100.0</v>
      </c>
      <c r="H24" s="12">
        <v>100.0</v>
      </c>
      <c r="I24" s="11">
        <v>0.0</v>
      </c>
      <c r="J24" s="12">
        <v>100.0</v>
      </c>
      <c r="K24" s="13">
        <f t="shared" si="1"/>
        <v>300</v>
      </c>
      <c r="L24" s="13">
        <f t="shared" si="2"/>
        <v>60</v>
      </c>
      <c r="M24" s="14" t="s">
        <v>20</v>
      </c>
      <c r="N24" s="13" t="str">
        <f t="shared" si="3"/>
        <v>Good</v>
      </c>
    </row>
    <row r="25" ht="24.0" customHeight="1">
      <c r="A25" s="11" t="s">
        <v>95</v>
      </c>
      <c r="B25" s="11" t="s">
        <v>2</v>
      </c>
      <c r="C25" s="12" t="s">
        <v>96</v>
      </c>
      <c r="D25" s="12" t="s">
        <v>97</v>
      </c>
      <c r="E25" s="12" t="s">
        <v>98</v>
      </c>
      <c r="F25" s="11">
        <v>0.0</v>
      </c>
      <c r="G25" s="12">
        <v>100.0</v>
      </c>
      <c r="H25" s="12">
        <v>100.0</v>
      </c>
      <c r="I25" s="11">
        <v>0.0</v>
      </c>
      <c r="J25" s="12">
        <v>90.0</v>
      </c>
      <c r="K25" s="13">
        <f t="shared" si="1"/>
        <v>290</v>
      </c>
      <c r="L25" s="13">
        <f t="shared" si="2"/>
        <v>58</v>
      </c>
      <c r="M25" s="14" t="s">
        <v>20</v>
      </c>
      <c r="N25" s="13" t="str">
        <f t="shared" si="3"/>
        <v>Fair</v>
      </c>
    </row>
    <row r="26" ht="24.0" customHeight="1">
      <c r="A26" s="11" t="s">
        <v>99</v>
      </c>
      <c r="B26" s="11" t="s">
        <v>2</v>
      </c>
      <c r="C26" s="12" t="s">
        <v>100</v>
      </c>
      <c r="D26" s="12" t="s">
        <v>101</v>
      </c>
      <c r="E26" s="12" t="s">
        <v>102</v>
      </c>
      <c r="F26" s="11">
        <v>0.0</v>
      </c>
      <c r="G26" s="11">
        <v>0.0</v>
      </c>
      <c r="H26" s="11">
        <v>0.0</v>
      </c>
      <c r="I26" s="11">
        <v>0.0</v>
      </c>
      <c r="J26" s="11">
        <v>0.0</v>
      </c>
      <c r="K26" s="13">
        <f t="shared" si="1"/>
        <v>0</v>
      </c>
      <c r="L26" s="13">
        <f t="shared" si="2"/>
        <v>0</v>
      </c>
      <c r="M26" s="14" t="s">
        <v>20</v>
      </c>
      <c r="N26" s="13" t="str">
        <f t="shared" si="3"/>
        <v>Needs Improvement</v>
      </c>
    </row>
    <row r="27" ht="24.0" customHeight="1">
      <c r="A27" s="11" t="s">
        <v>103</v>
      </c>
      <c r="B27" s="11" t="s">
        <v>2</v>
      </c>
      <c r="C27" s="12" t="s">
        <v>104</v>
      </c>
      <c r="D27" s="12" t="s">
        <v>105</v>
      </c>
      <c r="E27" s="12" t="s">
        <v>106</v>
      </c>
      <c r="F27" s="11">
        <v>0.0</v>
      </c>
      <c r="G27" s="11">
        <v>0.0</v>
      </c>
      <c r="H27" s="11">
        <v>0.0</v>
      </c>
      <c r="I27" s="11">
        <v>0.0</v>
      </c>
      <c r="J27" s="11">
        <v>0.0</v>
      </c>
      <c r="K27" s="13">
        <f t="shared" si="1"/>
        <v>0</v>
      </c>
      <c r="L27" s="13">
        <f t="shared" si="2"/>
        <v>0</v>
      </c>
      <c r="M27" s="14" t="s">
        <v>20</v>
      </c>
      <c r="N27" s="13" t="str">
        <f t="shared" si="3"/>
        <v>Needs Improvement</v>
      </c>
    </row>
    <row r="28" ht="24.0" customHeight="1">
      <c r="A28" s="11" t="s">
        <v>107</v>
      </c>
      <c r="B28" s="11" t="s">
        <v>2</v>
      </c>
      <c r="C28" s="12" t="s">
        <v>108</v>
      </c>
      <c r="D28" s="12" t="s">
        <v>109</v>
      </c>
      <c r="E28" s="12" t="s">
        <v>110</v>
      </c>
      <c r="F28" s="11">
        <v>0.0</v>
      </c>
      <c r="G28" s="11">
        <v>0.0</v>
      </c>
      <c r="H28" s="11">
        <v>0.0</v>
      </c>
      <c r="I28" s="11">
        <v>0.0</v>
      </c>
      <c r="J28" s="11">
        <v>0.0</v>
      </c>
      <c r="K28" s="13">
        <f t="shared" si="1"/>
        <v>0</v>
      </c>
      <c r="L28" s="13">
        <f t="shared" si="2"/>
        <v>0</v>
      </c>
      <c r="M28" s="14" t="s">
        <v>20</v>
      </c>
      <c r="N28" s="13" t="str">
        <f t="shared" si="3"/>
        <v>Needs Improvement</v>
      </c>
    </row>
    <row r="29" ht="24.0" customHeight="1">
      <c r="A29" s="11" t="s">
        <v>111</v>
      </c>
      <c r="B29" s="11" t="s">
        <v>2</v>
      </c>
      <c r="C29" s="12" t="s">
        <v>54</v>
      </c>
      <c r="D29" s="12" t="s">
        <v>112</v>
      </c>
      <c r="E29" s="12" t="s">
        <v>113</v>
      </c>
      <c r="F29" s="11">
        <v>0.0</v>
      </c>
      <c r="G29" s="11">
        <v>0.0</v>
      </c>
      <c r="H29" s="11">
        <v>0.0</v>
      </c>
      <c r="I29" s="11">
        <v>0.0</v>
      </c>
      <c r="J29" s="11">
        <v>0.0</v>
      </c>
      <c r="K29" s="13">
        <f t="shared" si="1"/>
        <v>0</v>
      </c>
      <c r="L29" s="13">
        <f t="shared" si="2"/>
        <v>0</v>
      </c>
      <c r="M29" s="14" t="s">
        <v>20</v>
      </c>
      <c r="N29" s="13" t="str">
        <f t="shared" si="3"/>
        <v>Needs Improvement</v>
      </c>
    </row>
    <row r="30" ht="24.0" customHeight="1">
      <c r="A30" s="11" t="s">
        <v>114</v>
      </c>
      <c r="B30" s="11" t="s">
        <v>2</v>
      </c>
      <c r="C30" s="12" t="s">
        <v>115</v>
      </c>
      <c r="D30" s="12" t="s">
        <v>116</v>
      </c>
      <c r="E30" s="12" t="s">
        <v>117</v>
      </c>
      <c r="F30" s="11">
        <v>0.0</v>
      </c>
      <c r="G30" s="11">
        <v>0.0</v>
      </c>
      <c r="H30" s="11">
        <v>0.0</v>
      </c>
      <c r="I30" s="11">
        <v>0.0</v>
      </c>
      <c r="J30" s="11">
        <v>0.0</v>
      </c>
      <c r="K30" s="13">
        <f t="shared" si="1"/>
        <v>0</v>
      </c>
      <c r="L30" s="13">
        <f t="shared" si="2"/>
        <v>0</v>
      </c>
      <c r="M30" s="14" t="s">
        <v>20</v>
      </c>
      <c r="N30" s="13" t="str">
        <f t="shared" si="3"/>
        <v>Needs Improvement</v>
      </c>
    </row>
    <row r="31" ht="24.0" customHeight="1">
      <c r="A31" s="11" t="s">
        <v>118</v>
      </c>
      <c r="B31" s="11" t="s">
        <v>2</v>
      </c>
      <c r="C31" s="12" t="s">
        <v>0</v>
      </c>
      <c r="D31" s="12" t="s">
        <v>119</v>
      </c>
      <c r="E31" s="12" t="s">
        <v>120</v>
      </c>
      <c r="F31" s="11">
        <v>0.0</v>
      </c>
      <c r="G31" s="11">
        <v>0.0</v>
      </c>
      <c r="H31" s="11">
        <v>0.0</v>
      </c>
      <c r="I31" s="11">
        <v>0.0</v>
      </c>
      <c r="J31" s="11">
        <v>0.0</v>
      </c>
      <c r="K31" s="13">
        <f t="shared" si="1"/>
        <v>0</v>
      </c>
      <c r="L31" s="13">
        <f t="shared" si="2"/>
        <v>0</v>
      </c>
      <c r="M31" s="14" t="s">
        <v>20</v>
      </c>
      <c r="N31" s="13" t="str">
        <f t="shared" si="3"/>
        <v>Needs Improvement</v>
      </c>
    </row>
    <row r="32" ht="24.0" customHeight="1">
      <c r="A32" s="11" t="s">
        <v>121</v>
      </c>
      <c r="B32" s="11" t="s">
        <v>2</v>
      </c>
      <c r="C32" s="12" t="s">
        <v>122</v>
      </c>
      <c r="D32" s="12" t="s">
        <v>123</v>
      </c>
      <c r="E32" s="12" t="s">
        <v>124</v>
      </c>
      <c r="F32" s="11">
        <v>0.0</v>
      </c>
      <c r="G32" s="11">
        <v>0.0</v>
      </c>
      <c r="H32" s="11">
        <v>0.0</v>
      </c>
      <c r="I32" s="11">
        <v>0.0</v>
      </c>
      <c r="J32" s="12">
        <v>90.0</v>
      </c>
      <c r="K32" s="13">
        <f t="shared" si="1"/>
        <v>90</v>
      </c>
      <c r="L32" s="13">
        <f t="shared" si="2"/>
        <v>18</v>
      </c>
      <c r="M32" s="14" t="s">
        <v>20</v>
      </c>
      <c r="N32" s="13" t="str">
        <f t="shared" si="3"/>
        <v>Needs Improvement</v>
      </c>
    </row>
    <row r="33" ht="24.0" customHeight="1">
      <c r="A33" s="11" t="s">
        <v>125</v>
      </c>
      <c r="B33" s="11" t="s">
        <v>2</v>
      </c>
      <c r="C33" s="12" t="s">
        <v>126</v>
      </c>
      <c r="D33" s="12" t="s">
        <v>127</v>
      </c>
      <c r="E33" s="12" t="s">
        <v>128</v>
      </c>
      <c r="F33" s="11">
        <v>0.0</v>
      </c>
      <c r="G33" s="11">
        <v>0.0</v>
      </c>
      <c r="H33" s="12">
        <v>100.0</v>
      </c>
      <c r="I33" s="11">
        <v>0.0</v>
      </c>
      <c r="J33" s="11">
        <v>0.0</v>
      </c>
      <c r="K33" s="13">
        <f t="shared" si="1"/>
        <v>100</v>
      </c>
      <c r="L33" s="13">
        <f t="shared" si="2"/>
        <v>20</v>
      </c>
      <c r="M33" s="14" t="s">
        <v>20</v>
      </c>
      <c r="N33" s="13" t="str">
        <f t="shared" si="3"/>
        <v>Needs Improvement</v>
      </c>
    </row>
    <row r="34" ht="24.0" customHeight="1">
      <c r="A34" s="11" t="s">
        <v>129</v>
      </c>
      <c r="B34" s="11" t="s">
        <v>2</v>
      </c>
      <c r="C34" s="12" t="s">
        <v>130</v>
      </c>
      <c r="D34" s="12" t="s">
        <v>131</v>
      </c>
      <c r="E34" s="12" t="s">
        <v>132</v>
      </c>
      <c r="F34" s="11">
        <v>0.0</v>
      </c>
      <c r="G34" s="12">
        <v>100.0</v>
      </c>
      <c r="H34" s="12">
        <v>90.0</v>
      </c>
      <c r="I34" s="11">
        <v>0.0</v>
      </c>
      <c r="J34" s="12">
        <v>90.0</v>
      </c>
      <c r="K34" s="13">
        <f t="shared" si="1"/>
        <v>280</v>
      </c>
      <c r="L34" s="13">
        <f t="shared" si="2"/>
        <v>56</v>
      </c>
      <c r="M34" s="14" t="s">
        <v>20</v>
      </c>
      <c r="N34" s="13" t="str">
        <f t="shared" si="3"/>
        <v>Fair</v>
      </c>
    </row>
    <row r="35" ht="24.0" customHeight="1">
      <c r="A35" s="11" t="s">
        <v>133</v>
      </c>
      <c r="B35" s="11" t="s">
        <v>2</v>
      </c>
      <c r="C35" s="12" t="s">
        <v>134</v>
      </c>
      <c r="D35" s="12" t="s">
        <v>135</v>
      </c>
      <c r="E35" s="12" t="s">
        <v>136</v>
      </c>
      <c r="F35" s="11">
        <v>0.0</v>
      </c>
      <c r="G35" s="11">
        <v>0.0</v>
      </c>
      <c r="H35" s="11">
        <v>0.0</v>
      </c>
      <c r="I35" s="11">
        <v>0.0</v>
      </c>
      <c r="J35" s="12">
        <v>100.0</v>
      </c>
      <c r="K35" s="13">
        <f t="shared" si="1"/>
        <v>100</v>
      </c>
      <c r="L35" s="13">
        <f t="shared" si="2"/>
        <v>20</v>
      </c>
      <c r="M35" s="14" t="s">
        <v>20</v>
      </c>
      <c r="N35" s="13" t="str">
        <f t="shared" si="3"/>
        <v>Needs Improvement</v>
      </c>
    </row>
    <row r="36" ht="24.0" customHeight="1">
      <c r="A36" s="11" t="s">
        <v>137</v>
      </c>
      <c r="B36" s="11" t="s">
        <v>2</v>
      </c>
      <c r="C36" s="11" t="s">
        <v>138</v>
      </c>
      <c r="D36" s="12" t="s">
        <v>139</v>
      </c>
      <c r="E36" s="12" t="s">
        <v>140</v>
      </c>
      <c r="F36" s="11">
        <v>0.0</v>
      </c>
      <c r="G36" s="11">
        <v>0.0</v>
      </c>
      <c r="H36" s="11">
        <v>0.0</v>
      </c>
      <c r="I36" s="11">
        <v>0.0</v>
      </c>
      <c r="J36" s="11">
        <v>0.0</v>
      </c>
      <c r="K36" s="13">
        <f t="shared" si="1"/>
        <v>0</v>
      </c>
      <c r="L36" s="13">
        <f t="shared" si="2"/>
        <v>0</v>
      </c>
      <c r="M36" s="14" t="s">
        <v>20</v>
      </c>
      <c r="N36" s="13" t="str">
        <f t="shared" si="3"/>
        <v>Needs Improvement</v>
      </c>
    </row>
    <row r="37" ht="24.0" customHeight="1">
      <c r="A37" s="11" t="s">
        <v>141</v>
      </c>
      <c r="B37" s="11" t="s">
        <v>2</v>
      </c>
      <c r="C37" s="11" t="s">
        <v>142</v>
      </c>
      <c r="D37" s="12" t="s">
        <v>143</v>
      </c>
      <c r="E37" s="12" t="s">
        <v>144</v>
      </c>
      <c r="F37" s="11">
        <v>0.0</v>
      </c>
      <c r="G37" s="11">
        <v>0.0</v>
      </c>
      <c r="H37" s="11">
        <v>0.0</v>
      </c>
      <c r="I37" s="11">
        <v>0.0</v>
      </c>
      <c r="J37" s="11">
        <v>0.0</v>
      </c>
      <c r="K37" s="13">
        <f t="shared" si="1"/>
        <v>0</v>
      </c>
      <c r="L37" s="13">
        <f t="shared" si="2"/>
        <v>0</v>
      </c>
      <c r="M37" s="14" t="s">
        <v>20</v>
      </c>
      <c r="N37" s="13" t="str">
        <f t="shared" si="3"/>
        <v>Needs Improvement</v>
      </c>
    </row>
    <row r="38" ht="24.0" customHeight="1">
      <c r="A38" s="11" t="s">
        <v>145</v>
      </c>
      <c r="B38" s="11" t="s">
        <v>2</v>
      </c>
      <c r="C38" s="11" t="s">
        <v>146</v>
      </c>
      <c r="D38" s="12" t="s">
        <v>147</v>
      </c>
      <c r="E38" s="12" t="s">
        <v>148</v>
      </c>
      <c r="F38" s="11">
        <v>0.0</v>
      </c>
      <c r="G38" s="11">
        <v>0.0</v>
      </c>
      <c r="H38" s="11">
        <v>0.0</v>
      </c>
      <c r="I38" s="11">
        <v>0.0</v>
      </c>
      <c r="J38" s="11">
        <v>0.0</v>
      </c>
      <c r="K38" s="13">
        <f t="shared" si="1"/>
        <v>0</v>
      </c>
      <c r="L38" s="13">
        <f t="shared" si="2"/>
        <v>0</v>
      </c>
      <c r="M38" s="14" t="s">
        <v>20</v>
      </c>
      <c r="N38" s="13" t="str">
        <f t="shared" si="3"/>
        <v>Needs Improvement</v>
      </c>
    </row>
    <row r="39" ht="24.0" customHeight="1"/>
    <row r="40" ht="24.0" customHeight="1"/>
    <row r="41" ht="24.0" customHeight="1"/>
    <row r="42" ht="24.0" customHeight="1"/>
    <row r="43" ht="24.0" customHeight="1"/>
    <row r="44" ht="24.0" customHeight="1"/>
    <row r="45" ht="24.0" customHeight="1"/>
    <row r="46" ht="24.0" customHeight="1"/>
    <row r="47" ht="24.0" customHeight="1"/>
    <row r="48" ht="24.0" customHeight="1"/>
    <row r="49" ht="24.0" customHeight="1"/>
    <row r="50" ht="24.0" customHeight="1"/>
    <row r="51" ht="24.0" customHeight="1"/>
    <row r="52" ht="24.0" customHeight="1"/>
    <row r="53" ht="24.0" customHeight="1"/>
    <row r="54" ht="24.0" customHeight="1"/>
    <row r="55" ht="24.0" customHeight="1"/>
    <row r="56" ht="24.0" customHeight="1"/>
    <row r="57" ht="24.0" customHeight="1"/>
    <row r="58" ht="24.0" customHeight="1"/>
    <row r="59" ht="24.0" customHeight="1"/>
    <row r="60" ht="24.0" customHeight="1"/>
    <row r="61" ht="24.0" customHeight="1"/>
    <row r="62" ht="24.0" customHeight="1"/>
    <row r="63" ht="24.0" customHeight="1"/>
    <row r="64" ht="24.0" customHeight="1"/>
    <row r="65" ht="24.0" customHeight="1"/>
    <row r="66" ht="24.0" customHeight="1"/>
    <row r="67" ht="24.0" customHeight="1"/>
    <row r="68" ht="24.0" customHeight="1"/>
    <row r="69" ht="24.0" customHeight="1"/>
    <row r="70" ht="24.0" customHeight="1"/>
    <row r="71" ht="24.0" customHeight="1"/>
    <row r="72" ht="24.0" customHeight="1"/>
    <row r="73" ht="24.0" customHeight="1"/>
    <row r="74" ht="24.0" customHeight="1"/>
    <row r="75" ht="24.0" customHeight="1"/>
    <row r="76" ht="24.0" customHeight="1"/>
    <row r="77" ht="24.0" customHeight="1"/>
    <row r="78" ht="24.0" customHeight="1"/>
    <row r="79" ht="24.0" customHeight="1"/>
    <row r="80" ht="24.0" customHeight="1"/>
    <row r="81" ht="24.0" customHeight="1"/>
    <row r="82" ht="24.0" customHeight="1"/>
    <row r="83" ht="24.0" customHeight="1"/>
    <row r="84" ht="24.0" customHeight="1"/>
    <row r="85" ht="24.0" customHeight="1"/>
    <row r="86" ht="24.0" customHeight="1"/>
    <row r="87" ht="24.0" customHeight="1"/>
    <row r="88" ht="24.0" customHeight="1"/>
    <row r="89" ht="24.0" customHeight="1"/>
    <row r="90" ht="24.0" customHeight="1"/>
    <row r="91" ht="24.0" customHeight="1"/>
    <row r="92" ht="24.0" customHeight="1"/>
    <row r="93" ht="24.0" customHeight="1"/>
    <row r="94" ht="24.0" customHeight="1"/>
    <row r="95" ht="24.0" customHeight="1"/>
    <row r="96" ht="24.0" customHeight="1"/>
    <row r="97" ht="24.0" customHeight="1"/>
    <row r="98" ht="24.0" customHeight="1"/>
    <row r="99" ht="24.0" customHeight="1"/>
    <row r="100" ht="24.0" customHeight="1"/>
    <row r="101" ht="24.0" customHeight="1"/>
    <row r="102" ht="24.0" customHeight="1"/>
    <row r="103" ht="24.0" customHeight="1"/>
    <row r="104" ht="24.0" customHeight="1"/>
    <row r="105" ht="24.0" customHeight="1"/>
    <row r="106" ht="24.0" customHeight="1"/>
    <row r="107" ht="24.0" customHeight="1"/>
    <row r="108" ht="24.0" customHeight="1"/>
    <row r="109" ht="24.0" customHeight="1"/>
    <row r="110" ht="24.0" customHeight="1"/>
    <row r="111" ht="24.0" customHeight="1"/>
    <row r="112" ht="24.0" customHeight="1"/>
    <row r="113" ht="24.0" customHeight="1"/>
    <row r="114" ht="24.0" customHeight="1"/>
    <row r="115" ht="24.0" customHeight="1"/>
    <row r="116" ht="24.0" customHeight="1"/>
    <row r="117" ht="24.0" customHeight="1"/>
    <row r="118" ht="24.0" customHeight="1"/>
    <row r="119" ht="24.0" customHeight="1"/>
    <row r="120" ht="24.0" customHeight="1"/>
    <row r="121" ht="24.0" customHeight="1"/>
    <row r="122" ht="24.0" customHeight="1"/>
    <row r="123" ht="24.0" customHeight="1"/>
    <row r="124" ht="24.0" customHeight="1"/>
    <row r="125" ht="24.0" customHeight="1"/>
    <row r="126" ht="24.0" customHeight="1"/>
    <row r="127" ht="24.0" customHeight="1"/>
    <row r="128" ht="24.0" customHeight="1"/>
    <row r="129" ht="24.0" customHeight="1"/>
    <row r="130" ht="24.0" customHeight="1"/>
    <row r="131" ht="24.0" customHeight="1"/>
    <row r="132" ht="24.0" customHeight="1"/>
    <row r="133" ht="24.0" customHeight="1"/>
    <row r="134" ht="24.0" customHeight="1"/>
    <row r="135" ht="24.0" customHeight="1"/>
    <row r="136" ht="24.0" customHeight="1"/>
    <row r="137" ht="24.0" customHeight="1"/>
    <row r="138" ht="24.0" customHeight="1"/>
    <row r="139" ht="24.0" customHeight="1"/>
    <row r="140" ht="24.0" customHeight="1"/>
    <row r="141" ht="24.0" customHeight="1"/>
    <row r="142" ht="24.0" customHeight="1"/>
    <row r="143" ht="24.0" customHeight="1"/>
    <row r="144" ht="24.0" customHeight="1"/>
    <row r="145" ht="24.0" customHeight="1"/>
    <row r="146" ht="24.0" customHeight="1"/>
    <row r="147" ht="24.0" customHeight="1"/>
    <row r="148" ht="24.0" customHeight="1"/>
    <row r="149" ht="24.0" customHeight="1"/>
    <row r="150" ht="24.0" customHeight="1"/>
    <row r="151" ht="24.0" customHeight="1"/>
    <row r="152" ht="24.0" customHeight="1"/>
    <row r="153" ht="24.0" customHeight="1"/>
    <row r="154" ht="24.0" customHeight="1"/>
    <row r="155" ht="24.0" customHeight="1"/>
    <row r="156" ht="24.0" customHeight="1"/>
    <row r="157" ht="24.0" customHeight="1"/>
    <row r="158" ht="24.0" customHeight="1"/>
    <row r="159" ht="24.0" customHeight="1"/>
    <row r="160" ht="24.0" customHeight="1"/>
    <row r="161" ht="24.0" customHeight="1"/>
    <row r="162" ht="24.0" customHeight="1"/>
    <row r="163" ht="24.0" customHeight="1"/>
    <row r="164" ht="24.0" customHeight="1"/>
    <row r="165" ht="24.0" customHeight="1"/>
    <row r="166" ht="24.0" customHeight="1"/>
    <row r="167" ht="24.0" customHeight="1"/>
    <row r="168" ht="24.0" customHeight="1"/>
    <row r="169" ht="24.0" customHeight="1"/>
    <row r="170" ht="24.0" customHeight="1"/>
    <row r="171" ht="24.0" customHeight="1"/>
    <row r="172" ht="24.0" customHeight="1"/>
    <row r="173" ht="24.0" customHeight="1"/>
    <row r="174" ht="24.0" customHeight="1"/>
    <row r="175" ht="24.0" customHeight="1"/>
    <row r="176" ht="24.0" customHeight="1"/>
    <row r="177" ht="24.0" customHeight="1"/>
    <row r="178" ht="24.0" customHeight="1"/>
    <row r="179" ht="24.0" customHeight="1"/>
    <row r="180" ht="24.0" customHeight="1"/>
    <row r="181" ht="24.0" customHeight="1"/>
    <row r="182" ht="24.0" customHeight="1"/>
    <row r="183" ht="24.0" customHeight="1"/>
    <row r="184" ht="24.0" customHeight="1"/>
    <row r="185" ht="24.0" customHeight="1"/>
    <row r="186" ht="24.0" customHeight="1"/>
    <row r="187" ht="24.0" customHeight="1"/>
    <row r="188" ht="24.0" customHeight="1"/>
    <row r="189" ht="24.0" customHeight="1"/>
    <row r="190" ht="24.0" customHeight="1"/>
    <row r="191" ht="24.0" customHeight="1"/>
    <row r="192" ht="24.0" customHeight="1"/>
    <row r="193" ht="24.0" customHeight="1"/>
    <row r="194" ht="24.0" customHeight="1"/>
    <row r="195" ht="24.0" customHeight="1"/>
    <row r="196" ht="24.0" customHeight="1"/>
    <row r="197" ht="24.0" customHeight="1"/>
    <row r="198" ht="24.0" customHeight="1"/>
    <row r="199" ht="24.0" customHeight="1"/>
    <row r="200" ht="24.0" customHeight="1"/>
    <row r="201" ht="24.0" customHeight="1"/>
    <row r="202" ht="24.0" customHeight="1"/>
    <row r="203" ht="24.0" customHeight="1"/>
    <row r="204" ht="24.0" customHeight="1"/>
    <row r="205" ht="24.0" customHeight="1"/>
    <row r="206" ht="24.0" customHeight="1"/>
    <row r="207" ht="24.0" customHeight="1"/>
    <row r="208" ht="24.0" customHeight="1"/>
    <row r="209" ht="24.0" customHeight="1"/>
    <row r="210" ht="24.0" customHeight="1"/>
    <row r="211" ht="24.0" customHeight="1"/>
    <row r="212" ht="24.0" customHeight="1"/>
    <row r="213" ht="24.0" customHeight="1"/>
    <row r="214" ht="24.0" customHeight="1"/>
    <row r="215" ht="24.0" customHeight="1"/>
    <row r="216" ht="24.0" customHeight="1"/>
    <row r="217" ht="24.0" customHeight="1"/>
    <row r="218" ht="24.0" customHeight="1"/>
    <row r="219" ht="24.0" customHeight="1"/>
    <row r="220" ht="24.0" customHeight="1"/>
    <row r="221" ht="24.0" customHeight="1"/>
    <row r="222" ht="24.0" customHeight="1"/>
    <row r="223" ht="24.0" customHeight="1"/>
    <row r="224" ht="24.0" customHeight="1"/>
    <row r="225" ht="24.0" customHeight="1"/>
    <row r="226" ht="24.0" customHeight="1"/>
    <row r="227" ht="24.0" customHeight="1"/>
    <row r="228" ht="24.0" customHeight="1"/>
    <row r="229" ht="24.0" customHeight="1"/>
    <row r="230" ht="24.0" customHeight="1"/>
    <row r="231" ht="24.0" customHeight="1"/>
    <row r="232" ht="24.0" customHeight="1"/>
    <row r="233" ht="24.0" customHeight="1"/>
    <row r="234" ht="24.0" customHeight="1"/>
    <row r="235" ht="24.0" customHeight="1"/>
    <row r="236" ht="24.0" customHeight="1"/>
    <row r="237" ht="24.0" customHeight="1"/>
    <row r="238" ht="24.0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printOptions/>
  <pageMargins bottom="0.75" footer="0.0" header="0.0" left="0.7" right="0.7" top="0.75"/>
  <pageSetup orientation="landscape"/>
  <drawing r:id="rId1"/>
</worksheet>
</file>